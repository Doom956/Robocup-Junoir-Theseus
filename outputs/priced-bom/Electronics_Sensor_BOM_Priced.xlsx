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5a7d603a6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d57935e200452f"/>
    <x:sheet xmlns:r="http://schemas.openxmlformats.org/officeDocument/2006/relationships" name="BOM" sheetId="2" r:id="R2de8cee23682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5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30c2494c04719" /><Relationship Type="http://schemas.openxmlformats.org/officeDocument/2006/relationships/theme" Target="/xl/theme/theme1.xml" Id="Rc2dc90b23f3e484a" /><Relationship Type="http://schemas.openxmlformats.org/officeDocument/2006/relationships/sharedStrings" Target="/xl/sharedStrings.xml" Id="R0850cb2b5c344615" /><Relationship Type="http://schemas.openxmlformats.org/officeDocument/2006/relationships/worksheet" Target="/xl/worksheets/sheet1.xml" Id="R76d57935e200452f" /><Relationship Type="http://schemas.openxmlformats.org/officeDocument/2006/relationships/worksheet" Target="/xl/worksheets/sheet2.xml" Id="R2de8cee236824860" /></Relationships>
</file>

<file path=xl/tables/table1.xml><?xml version="1.0" encoding="utf-8"?>
<x:table xmlns:x="http://schemas.openxmlformats.org/spreadsheetml/2006/main" id="1" name="PricedBOM" displayName="PricedBOM" ref="A1:M24" headerRowCount="1">
  <x:autoFilter ref="A1:M24"/>
  <x:tableColumns count="13">
    <x:tableColumn id="1" name="Category"/>
    <x:tableColumn id="2" name="Component / Description"/>
    <x:tableColumn id="3" name="Supplier"/>
    <x:tableColumn id="4" name="Status"/>
    <x:tableColumn id="5" name="Type"/>
    <x:tableColumn id="6" name="Required Qty"/>
    <x:tableColumn id="7" name="Existing Qty"/>
    <x:tableColumn id="8" name="Spare Qty"/>
    <x:tableColumn id="9" name="Unit Price (USD)"/>
    <x:tableColumn id="10" name="Required Cost (USD)"/>
    <x:tableColumn id="11" name="Pricing Basis"/>
    <x:tableColumn id="12" name="Assumptions / Follow-up"/>
    <x:tableColumn id="13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1499d7e1ce4c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Electronics and Sensor Bill of Materials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4" customHeight="1">
      <x:c r="A3" s="7" t="str">
        <x:v>Prices checked June 12, 2026 | USD unless stated | Tax and shipping excluded</x:v>
      </x:c>
      <x:c r="B3" s="7"/>
      <x:c r="C3" s="7"/>
      <x:c r="D3" s="7"/>
      <x:c r="E3" s="7"/>
      <x:c r="F3" s="7"/>
      <x:c r="G3" s="7"/>
      <x:c r="H3" s="7"/>
    </x:row>
    <x:row r="4" ht="24" customHeight="1"/>
    <x:row r="5" ht="24" customHeight="1">
      <x:c r="A5" s="10" t="str">
        <x:v>Metric</x:v>
      </x:c>
      <x:c r="B5" s="10" t="str">
        <x:v>Value</x:v>
      </x:c>
    </x:row>
    <x:row r="6" ht="24" customHeight="1">
      <x:c r="A6" s="11" t="str">
        <x:v>Partial priced subtotal</x:v>
      </x:c>
      <x:c r="B6" s="13" t="n">
        <x:f>SUM(BOM!J2:J24)</x:f>
        <x:v>631.07</x:v>
      </x:c>
    </x:row>
    <x:row r="7" ht="24" customHeight="1">
      <x:c r="A7" s="11" t="str">
        <x:v>BOM line items</x:v>
      </x:c>
      <x:c r="B7" s="14" t="n">
        <x:f>COUNTA(BOM!B2:B24)</x:f>
        <x:v>23</x:v>
      </x:c>
    </x:row>
    <x:row r="8" ht="24" customHeight="1">
      <x:c r="A8" s="11" t="str">
        <x:v>Rows without complete USD cost</x:v>
      </x:c>
      <x:c r="B8" s="14" t="n">
        <x:f>COUNTBLANK(BOM!J2:J24)</x:f>
        <x:v>12</x:v>
      </x:c>
    </x:row>
    <x:row r="9" ht="24" customHeight="1"/>
    <x:row r="10" ht="24" customHeight="1">
      <x:c r="A10" s="9" t="str">
        <x:v>Pricing Notes</x:v>
      </x:c>
      <x:c r="B10" s="9"/>
      <x:c r="C10" s="9"/>
      <x:c r="D10" s="9"/>
      <x:c r="E10" s="9"/>
      <x:c r="F10" s="9"/>
      <x:c r="G10" s="9"/>
      <x:c r="H10" s="9"/>
    </x:row>
    <x:row r="11" ht="24" customHeight="1">
      <x:c r="A11" s="17" t="str">
        <x:v>The subtotal includes only items with a numeric required quantity and a USD unit price.</x:v>
      </x:c>
      <x:c r="B11" s="17"/>
      <x:c r="C11" s="17"/>
      <x:c r="D11" s="17"/>
      <x:c r="E11" s="17"/>
      <x:c r="F11" s="17"/>
      <x:c r="G11" s="17"/>
      <x:c r="H11" s="17"/>
    </x:row>
    <x:row r="12" ht="24" customHeight="1">
      <x:c r="A12" s="17" t="str">
        <x:v>Representative prices are assumptions and must be confirmed before ordering.</x:v>
      </x:c>
      <x:c r="B12" s="17"/>
      <x:c r="C12" s="17"/>
      <x:c r="D12" s="17"/>
      <x:c r="E12" s="17"/>
      <x:c r="F12" s="17"/>
      <x:c r="G12" s="17"/>
      <x:c r="H12" s="17"/>
    </x:row>
    <x:row r="13" ht="24" customHeight="1">
      <x:c r="A13" s="17" t="str">
        <x:v>The CAROBOT shield is listed at CAD $19.99 and is excluded from the USD subtotal.</x:v>
      </x:c>
      <x:c r="B13" s="17"/>
      <x:c r="C13" s="17"/>
      <x:c r="D13" s="17"/>
      <x:c r="E13" s="17"/>
      <x:c r="F13" s="17"/>
      <x:c r="G13" s="17"/>
      <x:c r="H13" s="17"/>
    </x:row>
    <x:row r="14" ht="24" customHeight="1">
      <x:c r="A14" s="17" t="str">
        <x:v>Resolve the spreadsheet's 150:1 gearmotor description against linked Pololu item 3493, which is 195:1.</x:v>
      </x:c>
      <x:c r="B14" s="17"/>
      <x:c r="C14" s="17"/>
      <x:c r="D14" s="17"/>
      <x:c r="E14" s="17"/>
      <x:c r="F14" s="17"/>
      <x:c r="G14" s="17"/>
      <x:c r="H14" s="17"/>
    </x:row>
  </x:sheetData>
  <x:mergeCells>
    <x:mergeCell ref="A1:H2"/>
    <x:mergeCell ref="A3:H3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31" hidden="0" customWidth="1"/>
    <x:col min="5" max="5" width="19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23" hidden="0" customWidth="1"/>
    <x:col min="12" max="12" width="40" hidden="0" customWidth="1"/>
    <x:col min="13" max="13" width="48" hidden="0" customWidth="1"/>
  </x:cols>
  <x:sheetData>
    <x:row r="1" ht="15" hidden="0" customHeight="1">
      <x:c r="A1" s="19" t="str">
        <x:v>Category</x:v>
      </x:c>
      <x:c r="B1" s="19" t="str">
        <x:v>Component / Description</x:v>
      </x:c>
      <x:c r="C1" s="19" t="str">
        <x:v>Supplier</x:v>
      </x:c>
      <x:c r="D1" s="19" t="str">
        <x:v>Status</x:v>
      </x:c>
      <x:c r="E1" s="19" t="str">
        <x:v>Type</x:v>
      </x:c>
      <x:c r="F1" s="19" t="str">
        <x:v>Required Qty</x:v>
      </x:c>
      <x:c r="G1" s="19" t="str">
        <x:v>Existing Qty</x:v>
      </x:c>
      <x:c r="H1" s="19" t="str">
        <x:v>Spare Qty</x:v>
      </x:c>
      <x:c r="I1" s="19" t="str">
        <x:v>Unit Price (USD)</x:v>
      </x:c>
      <x:c r="J1" s="19" t="str">
        <x:v>Required Cost (USD)</x:v>
      </x:c>
      <x:c r="K1" s="19" t="str">
        <x:v>Pricing Basis</x:v>
      </x:c>
      <x:c r="L1" s="19" t="str">
        <x:v>Assumptions / Follow-up</x:v>
      </x:c>
      <x:c r="M1" s="19" t="str">
        <x:v>Source URL</x:v>
      </x:c>
    </x:row>
    <x:row r="2" ht="15" hidden="0" customHeight="1">
      <x:c r="A2" s="19" t="str">
        <x:v>Processing</x:v>
      </x:c>
      <x:c r="B2" s="19" t="str">
        <x:v>Processor/controller board (exact model TBD)</x:v>
      </x:c>
      <x:c r="C2" s="19" t="str">
        <x:v>Supplier TBD</x:v>
      </x:c>
      <x:c r="D2" s="19" t="str">
        <x:v>Reused; existing inventory</x:v>
      </x:c>
      <x:c r="E2" s="19" t="str">
        <x:v>Kit/off-the-shelf</x:v>
      </x:c>
      <x:c r="F2" s="20" t="n">
        <x:v>0</x:v>
      </x:c>
      <x:c r="G2" s="20" t="n">
        <x:v>2</x:v>
      </x:c>
      <x:c r="H2" s="20" t="n">
        <x:v>1</x:v>
      </x:c>
      <x:c r="I2" s="21"/>
      <x:c r="J2" s="21" t="str">
        <x:f>IF(AND(ISNUMBER(F2),ISNUMBER(I2)),F2*I2,"")</x:f>
      </x:c>
      <x:c r="K2" s="19" t="str">
        <x:v>TBD</x:v>
      </x:c>
      <x:c r="L2" s="19" t="str">
        <x:v>Exact model required</x:v>
      </x:c>
      <x:c r="M2" s="19" t="str"/>
    </x:row>
    <x:row r="3" ht="15" hidden="0" customHeight="1">
      <x:c r="A3" s="19" t="str">
        <x:v>Sensor</x:v>
      </x:c>
      <x:c r="B3" s="19" t="str">
        <x:v>Adafruit VL53L0X time-of-flight sensor breakout, PID 3317</x:v>
      </x:c>
      <x:c r="C3" s="19" t="str">
        <x:v>Adafruit</x:v>
      </x:c>
      <x:c r="D3" s="19" t="str">
        <x:v>Reused; existing inventory</x:v>
      </x:c>
      <x:c r="E3" s="19" t="str">
        <x:v>Kit/off-the-shelf</x:v>
      </x:c>
      <x:c r="F3" s="20" t="n">
        <x:v>7</x:v>
      </x:c>
      <x:c r="G3" s="20" t="n">
        <x:v>14</x:v>
      </x:c>
      <x:c r="H3" s="20" t="n">
        <x:v>1</x:v>
      </x:c>
      <x:c r="I3" s="21" t="n">
        <x:v>14.95</x:v>
      </x:c>
      <x:c r="J3" s="21" t="n">
        <x:f>IF(AND(ISNUMBER(F3),ISNUMBER(I3)),F3*I3,"")</x:f>
        <x:v>104.64999999999999</x:v>
      </x:c>
      <x:c r="K3" s="19" t="str">
        <x:v>Exact</x:v>
      </x:c>
      <x:c r="L3" s="19" t="str">
        <x:v>PID 3317</x:v>
      </x:c>
      <x:c r="M3" s="19" t="str">
        <x:v>https://www.adafruit.com/product/3317</x:v>
      </x:c>
    </x:row>
    <x:row r="4" ht="15" hidden="0" customHeight="1">
      <x:c r="A4" s="19" t="str">
        <x:v>Sensor</x:v>
      </x:c>
      <x:c r="B4" s="19" t="str">
        <x:v>Adafruit TCS34725 color sensor breakout, PID 1334</x:v>
      </x:c>
      <x:c r="C4" s="19" t="str">
        <x:v>Adafruit</x:v>
      </x:c>
      <x:c r="D4" s="19" t="str">
        <x:v>Reused; existing inventory</x:v>
      </x:c>
      <x:c r="E4" s="19" t="str">
        <x:v>Kit/off-the-shelf</x:v>
      </x:c>
      <x:c r="F4" s="20" t="n">
        <x:v>1</x:v>
      </x:c>
      <x:c r="G4" s="20" t="n">
        <x:v>2</x:v>
      </x:c>
      <x:c r="H4" s="20" t="n">
        <x:v>0</x:v>
      </x:c>
      <x:c r="I4" s="21" t="n">
        <x:v>7.95</x:v>
      </x:c>
      <x:c r="J4" s="21" t="n">
        <x:f>IF(AND(ISNUMBER(F4),ISNUMBER(I4)),F4*I4,"")</x:f>
        <x:v>7.95</x:v>
      </x:c>
      <x:c r="K4" s="19" t="str">
        <x:v>Listed; discontinued</x:v>
      </x:c>
      <x:c r="L4" s="19" t="str">
        <x:v>Discontinued listing</x:v>
      </x:c>
      <x:c r="M4" s="19" t="str">
        <x:v>https://www.adafruit.com/product/1334</x:v>
      </x:c>
    </x:row>
    <x:row r="5" ht="26.399999618530273" hidden="0" customHeight="1">
      <x:c r="A5" s="19" t="str">
        <x:v>Sensor</x:v>
      </x:c>
      <x:c r="B5" s="19" t="str">
        <x:v>Adafruit BNO055 absolute-orientation sensor breakout, PID 2472</x:v>
      </x:c>
      <x:c r="C5" s="19" t="str">
        <x:v>Adafruit</x:v>
      </x:c>
      <x:c r="D5" s="19" t="str">
        <x:v>Reused; existing inventory</x:v>
      </x:c>
      <x:c r="E5" s="19" t="str">
        <x:v>Kit/off-the-shelf</x:v>
      </x:c>
      <x:c r="F5" s="20" t="n">
        <x:v>1</x:v>
      </x:c>
      <x:c r="G5" s="20" t="n">
        <x:v>2</x:v>
      </x:c>
      <x:c r="H5" s="20" t="n">
        <x:v>0</x:v>
      </x:c>
      <x:c r="I5" s="21" t="n">
        <x:v>34.95</x:v>
      </x:c>
      <x:c r="J5" s="21" t="n">
        <x:f>IF(AND(ISNUMBER(F5),ISNUMBER(I5)),F5*I5,"")</x:f>
        <x:v>34.95</x:v>
      </x:c>
      <x:c r="K5" s="19" t="str">
        <x:v>Exact</x:v>
      </x:c>
      <x:c r="L5" s="19" t="str">
        <x:v>PID 2472</x:v>
      </x:c>
      <x:c r="M5" s="19" t="str">
        <x:v>https://www.adafruit.com/product/2472</x:v>
      </x:c>
    </x:row>
    <x:row r="6" ht="26.399999618530273" hidden="0" customHeight="1">
      <x:c r="A6" s="19" t="str">
        <x:v>Sensor</x:v>
      </x:c>
      <x:c r="B6" s="19" t="str">
        <x:v>Motor encoders; assumed Pololu 20D magnetic encoder pair kit, item 3499</x:v>
      </x:c>
      <x:c r="C6" s="19" t="str">
        <x:v>Pololu</x:v>
      </x:c>
      <x:c r="D6" s="19" t="str">
        <x:v>Reused; spare inventory; installed quantity unknown</x:v>
      </x:c>
      <x:c r="E6" s="19" t="str">
        <x:v>Kit/off-the-shelf</x:v>
      </x:c>
      <x:c r="F6" s="20" t="n">
        <x:v>2</x:v>
      </x:c>
      <x:c r="G6" s="20"/>
      <x:c r="H6" s="20" t="n">
        <x:v>1</x:v>
      </x:c>
      <x:c r="I6" s="21" t="n">
        <x:v>9.95</x:v>
      </x:c>
      <x:c r="J6" s="21" t="n">
        <x:f>IF(AND(ISNUMBER(F6),ISNUMBER(I6)),F6*I6,"")</x:f>
        <x:v>19.9</x:v>
      </x:c>
      <x:c r="K6" s="19" t="str">
        <x:v>Representative</x:v>
      </x:c>
      <x:c r="L6" s="19" t="str">
        <x:v>Quantity is pair kits; confirm installed model</x:v>
      </x:c>
      <x:c r="M6" s="19" t="str">
        <x:v>https://www.pololu.com/product/3499</x:v>
      </x:c>
    </x:row>
    <x:row r="7" ht="15" hidden="0" customHeight="1">
      <x:c r="A7" s="19" t="str">
        <x:v>Vision</x:v>
      </x:c>
      <x:c r="B7" s="19" t="str">
        <x:v>OpenMV Cam H7 Plus, SKU OMV-CAM-H7-PLUS-V1</x:v>
      </x:c>
      <x:c r="C7" s="19" t="str">
        <x:v>OpenMV</x:v>
      </x:c>
      <x:c r="D7" s="19" t="str">
        <x:v>Reused; existing inventory</x:v>
      </x:c>
      <x:c r="E7" s="19" t="str">
        <x:v>Kit/off-the-shelf</x:v>
      </x:c>
      <x:c r="F7" s="20" t="n">
        <x:v>2</x:v>
      </x:c>
      <x:c r="G7" s="20" t="n">
        <x:v>4</x:v>
      </x:c>
      <x:c r="H7" s="20" t="n">
        <x:v>0</x:v>
      </x:c>
      <x:c r="I7" s="21" t="n">
        <x:v>135</x:v>
      </x:c>
      <x:c r="J7" s="21" t="n">
        <x:f>IF(AND(ISNUMBER(F7),ISNUMBER(I7)),F7*I7,"")</x:f>
        <x:v>270</x:v>
      </x:c>
      <x:c r="K7" s="19" t="str">
        <x:v>Exact; sold out</x:v>
      </x:c>
      <x:c r="L7" s="19" t="str">
        <x:v>Production-run order only</x:v>
      </x:c>
      <x:c r="M7" s="19" t="str">
        <x:v>https://openmv.io/products/openmv-cam-h7-plus</x:v>
      </x:c>
    </x:row>
    <x:row r="8" ht="26.399999618530273" hidden="0" customHeight="1">
      <x:c r="A8" s="19" t="str">
        <x:v>Actuator</x:v>
      </x:c>
      <x:c r="B8" s="19" t="str">
        <x:v>Pololu extended-shaft gearmotor; linked item 3493 is 195:1</x:v>
      </x:c>
      <x:c r="C8" s="19" t="str">
        <x:v>Pololu</x:v>
      </x:c>
      <x:c r="D8" s="19" t="str">
        <x:v>Reused; existing inventory</x:v>
      </x:c>
      <x:c r="E8" s="19" t="str">
        <x:v>Kit/off-the-shelf</x:v>
      </x:c>
      <x:c r="F8" s="20" t="n">
        <x:v>4</x:v>
      </x:c>
      <x:c r="G8" s="20" t="n">
        <x:v>8</x:v>
      </x:c>
      <x:c r="H8" s="20" t="n">
        <x:v>1</x:v>
      </x:c>
      <x:c r="I8" s="21" t="n">
        <x:v>32.95</x:v>
      </x:c>
      <x:c r="J8" s="21" t="n">
        <x:f>IF(AND(ISNUMBER(F8),ISNUMBER(I8)),F8*I8,"")</x:f>
        <x:v>131.8</x:v>
      </x:c>
      <x:c r="K8" s="19" t="str">
        <x:v>Linked model</x:v>
      </x:c>
      <x:c r="L8" s="19" t="str">
        <x:v>Spreadsheet says 150:1; confirm ratio/model</x:v>
      </x:c>
      <x:c r="M8" s="19" t="str">
        <x:v>https://www.pololu.com/product/3493</x:v>
      </x:c>
    </x:row>
    <x:row r="9" ht="26.399999618530273" hidden="0" customHeight="1">
      <x:c r="A9" s="19" t="str">
        <x:v>Actuator</x:v>
      </x:c>
      <x:c r="B9" s="19" t="str">
        <x:v>28BYJ-style 5 V geared stepper motor; assumed Adafruit PID 858</x:v>
      </x:c>
      <x:c r="C9" s="19" t="str">
        <x:v>Adafruit</x:v>
      </x:c>
      <x:c r="D9" s="19" t="str">
        <x:v>Reused; existing and spare inventory</x:v>
      </x:c>
      <x:c r="E9" s="19" t="str">
        <x:v>Kit/off-the-shelf</x:v>
      </x:c>
      <x:c r="F9" s="20" t="n">
        <x:v>1</x:v>
      </x:c>
      <x:c r="G9" s="20" t="n">
        <x:v>2</x:v>
      </x:c>
      <x:c r="H9" s="20" t="n">
        <x:v>4</x:v>
      </x:c>
      <x:c r="I9" s="21" t="n">
        <x:v>4.95</x:v>
      </x:c>
      <x:c r="J9" s="21" t="n">
        <x:f>IF(AND(ISNUMBER(F9),ISNUMBER(I9)),F9*I9,"")</x:f>
        <x:v>4.95</x:v>
      </x:c>
      <x:c r="K9" s="19" t="str">
        <x:v>Representative; out of stock</x:v>
      </x:c>
      <x:c r="L9" s="19" t="str">
        <x:v>Confirm exact model</x:v>
      </x:c>
      <x:c r="M9" s="19" t="str">
        <x:v>https://www.adafruit.com/product/858</x:v>
      </x:c>
    </x:row>
    <x:row r="10" ht="15" hidden="0" customHeight="1">
      <x:c r="A10" s="19" t="str">
        <x:v>Display</x:v>
      </x:c>
      <x:c r="B10" s="19" t="str">
        <x:v>LCD screen (exact model and size TBD)</x:v>
      </x:c>
      <x:c r="C10" s="19" t="str">
        <x:v>Supplier TBD</x:v>
      </x:c>
      <x:c r="D10" s="19" t="str">
        <x:v>Reused; existing and spare inventory</x:v>
      </x:c>
      <x:c r="E10" s="19" t="str">
        <x:v>Kit/off-the-shelf</x:v>
      </x:c>
      <x:c r="F10" s="20" t="n">
        <x:v>1</x:v>
      </x:c>
      <x:c r="G10" s="20" t="n">
        <x:v>1</x:v>
      </x:c>
      <x:c r="H10" s="20" t="n">
        <x:v>1</x:v>
      </x:c>
      <x:c r="I10" s="21"/>
      <x:c r="J10" s="21" t="str">
        <x:f>IF(AND(ISNUMBER(F10),ISNUMBER(I10)),F10*I10,"")</x:f>
      </x:c>
      <x:c r="K10" s="19" t="str">
        <x:v>TBD</x:v>
      </x:c>
      <x:c r="L10" s="19" t="str">
        <x:v>Exact model and size required</x:v>
      </x:c>
      <x:c r="M10" s="19" t="str"/>
    </x:row>
    <x:row r="11" ht="15" hidden="0" customHeight="1">
      <x:c r="A11" s="19" t="str">
        <x:v>Lighting</x:v>
      </x:c>
      <x:c r="B11" s="19" t="str">
        <x:v>LED strips (type/length TBD)</x:v>
      </x:c>
      <x:c r="C11" s="19" t="str">
        <x:v>Supplier TBD</x:v>
      </x:c>
      <x:c r="D11" s="19" t="str">
        <x:v>Reused; existing inventory</x:v>
      </x:c>
      <x:c r="E11" s="19" t="str">
        <x:v>Kit/off-the-shelf</x:v>
      </x:c>
      <x:c r="F11" s="20" t="n">
        <x:v>3</x:v>
      </x:c>
      <x:c r="G11" s="20" t="n">
        <x:v>3</x:v>
      </x:c>
      <x:c r="H11" s="20" t="n">
        <x:v>0</x:v>
      </x:c>
      <x:c r="I11" s="21"/>
      <x:c r="J11" s="21" t="str">
        <x:f>IF(AND(ISNUMBER(F11),ISNUMBER(I11)),F11*I11,"")</x:f>
      </x:c>
      <x:c r="K11" s="19" t="str">
        <x:v>TBD</x:v>
      </x:c>
      <x:c r="L11" s="19" t="str">
        <x:v>Type, voltage, density, and length required</x:v>
      </x:c>
      <x:c r="M11" s="19" t="str"/>
    </x:row>
    <x:row r="12" ht="15" hidden="0" customHeight="1">
      <x:c r="A12" s="19" t="str">
        <x:v>Mechanical</x:v>
      </x:c>
      <x:c r="B12" s="19" t="str">
        <x:v>M4 suspension screws (length/type TBD)</x:v>
      </x:c>
      <x:c r="C12" s="19" t="str">
        <x:v>Supplier TBD</x:v>
      </x:c>
      <x:c r="D12" s="19" t="str">
        <x:v>Reused; existing inventory</x:v>
      </x:c>
      <x:c r="E12" s="19" t="str">
        <x:v>Kit/off-the-shelf</x:v>
      </x:c>
      <x:c r="F12" s="20" t="n">
        <x:v>1</x:v>
      </x:c>
      <x:c r="G12" s="20" t="n">
        <x:v>2</x:v>
      </x:c>
      <x:c r="H12" s="20" t="n">
        <x:v>0</x:v>
      </x:c>
      <x:c r="I12" s="21"/>
      <x:c r="J12" s="21" t="str">
        <x:f>IF(AND(ISNUMBER(F12),ISNUMBER(I12)),F12*I12,"")</x:f>
      </x:c>
      <x:c r="K12" s="19" t="str">
        <x:v>TBD</x:v>
      </x:c>
      <x:c r="L12" s="19" t="str">
        <x:v>Price is per required set; specification required</x:v>
      </x:c>
      <x:c r="M12" s="19" t="str"/>
    </x:row>
    <x:row r="13" ht="15" hidden="0" customHeight="1">
      <x:c r="A13" s="19" t="str">
        <x:v>Mechanical</x:v>
      </x:c>
      <x:c r="B13" s="19" t="str">
        <x:v>Ball bearings (size/model TBD)</x:v>
      </x:c>
      <x:c r="C13" s="19" t="str">
        <x:v>Supplier TBD</x:v>
      </x:c>
      <x:c r="D13" s="19" t="str">
        <x:v>Reused; existing and spare inventory</x:v>
      </x:c>
      <x:c r="E13" s="19" t="str">
        <x:v>Kit/off-the-shelf</x:v>
      </x:c>
      <x:c r="F13" s="20" t="n">
        <x:v>2</x:v>
      </x:c>
      <x:c r="G13" s="20" t="n">
        <x:v>4</x:v>
      </x:c>
      <x:c r="H13" s="20" t="n">
        <x:v>5</x:v>
      </x:c>
      <x:c r="I13" s="21"/>
      <x:c r="J13" s="21" t="str">
        <x:f>IF(AND(ISNUMBER(F13),ISNUMBER(I13)),F13*I13,"")</x:f>
      </x:c>
      <x:c r="K13" s="19" t="str">
        <x:v>TBD</x:v>
      </x:c>
      <x:c r="L13" s="19" t="str">
        <x:v>Size/model required</x:v>
      </x:c>
      <x:c r="M13" s="19" t="str"/>
    </x:row>
    <x:row r="14" ht="15" hidden="0" customHeight="1">
      <x:c r="A14" s="19" t="str">
        <x:v>Mechanical</x:v>
      </x:c>
      <x:c r="B14" s="19" t="str">
        <x:v>Motor brackets (exact model TBD)</x:v>
      </x:c>
      <x:c r="C14" s="19" t="str">
        <x:v>Supplier TBD</x:v>
      </x:c>
      <x:c r="D14" s="19" t="str">
        <x:v>Reused; existing and spare inventory</x:v>
      </x:c>
      <x:c r="E14" s="19" t="str">
        <x:v>Kit/off-the-shelf</x:v>
      </x:c>
      <x:c r="F14" s="20" t="n">
        <x:v>4</x:v>
      </x:c>
      <x:c r="G14" s="20" t="n">
        <x:v>8</x:v>
      </x:c>
      <x:c r="H14" s="20" t="n">
        <x:v>6</x:v>
      </x:c>
      <x:c r="I14" s="21"/>
      <x:c r="J14" s="21" t="str">
        <x:f>IF(AND(ISNUMBER(F14),ISNUMBER(I14)),F14*I14,"")</x:f>
      </x:c>
      <x:c r="K14" s="19" t="str">
        <x:v>TBD</x:v>
      </x:c>
      <x:c r="L14" s="19" t="str">
        <x:v>Exact model required</x:v>
      </x:c>
      <x:c r="M14" s="19" t="str"/>
    </x:row>
    <x:row r="15" ht="26.399999618530273" hidden="0" customHeight="1">
      <x:c r="A15" s="19" t="str">
        <x:v>Electronics</x:v>
      </x:c>
      <x:c r="B15" s="19" t="str">
        <x:v>Protoboard; assumed Adafruit half-size Perma-Proto, PID 1609</x:v>
      </x:c>
      <x:c r="C15" s="19" t="str">
        <x:v>Adafruit</x:v>
      </x:c>
      <x:c r="D15" s="19" t="str">
        <x:v>Reused; existing and spare inventory</x:v>
      </x:c>
      <x:c r="E15" s="19" t="str">
        <x:v>Kit/off-the-shelf</x:v>
      </x:c>
      <x:c r="F15" s="20" t="n">
        <x:v>1</x:v>
      </x:c>
      <x:c r="G15" s="20" t="n">
        <x:v>2</x:v>
      </x:c>
      <x:c r="H15" s="20" t="n">
        <x:v>1</x:v>
      </x:c>
      <x:c r="I15" s="21" t="n">
        <x:v>4.5</x:v>
      </x:c>
      <x:c r="J15" s="21" t="n">
        <x:f>IF(AND(ISNUMBER(F15),ISNUMBER(I15)),F15*I15,"")</x:f>
        <x:v>4.5</x:v>
      </x:c>
      <x:c r="K15" s="19" t="str">
        <x:v>Representative</x:v>
      </x:c>
      <x:c r="L15" s="19" t="str">
        <x:v>Confirm dimensions</x:v>
      </x:c>
      <x:c r="M15" s="19" t="str">
        <x:v>https://www.adafruit.com/product/1609</x:v>
      </x:c>
    </x:row>
    <x:row r="16" ht="26.399999618530273" hidden="0" customHeight="1">
      <x:c r="A16" s="19" t="str">
        <x:v>Wiring</x:v>
      </x:c>
      <x:c r="B16" s="19" t="str">
        <x:v>Qwiic cables; assumed 100 mm JST-SH 4-pin, Adafruit PID 4210</x:v>
      </x:c>
      <x:c r="C16" s="19" t="str">
        <x:v>Adafruit</x:v>
      </x:c>
      <x:c r="D16" s="19" t="str">
        <x:v>Reused; existing inventory</x:v>
      </x:c>
      <x:c r="E16" s="19" t="str">
        <x:v>Kit/off-the-shelf</x:v>
      </x:c>
      <x:c r="F16" s="20" t="n">
        <x:v>10</x:v>
      </x:c>
      <x:c r="G16" s="20" t="n">
        <x:v>18</x:v>
      </x:c>
      <x:c r="H16" s="20" t="n">
        <x:v>0</x:v>
      </x:c>
      <x:c r="I16" s="21" t="n">
        <x:v>0.95</x:v>
      </x:c>
      <x:c r="J16" s="21" t="n">
        <x:f>IF(AND(ISNUMBER(F16),ISNUMBER(I16)),F16*I16,"")</x:f>
        <x:v>9.5</x:v>
      </x:c>
      <x:c r="K16" s="19" t="str">
        <x:v>Representative</x:v>
      </x:c>
      <x:c r="L16" s="19" t="str">
        <x:v>Confirm lengths</x:v>
      </x:c>
      <x:c r="M16" s="19" t="str">
        <x:v>https://www.adafruit.com/product/4210</x:v>
      </x:c>
    </x:row>
    <x:row r="17" ht="15" hidden="0" customHeight="1">
      <x:c r="A17" s="19" t="str">
        <x:v>Safety/electronics</x:v>
      </x:c>
      <x:c r="B17" s="19" t="str">
        <x:v>Circuit breaker (rating/model TBD)</x:v>
      </x:c>
      <x:c r="C17" s="19" t="str">
        <x:v>Supplier TBD</x:v>
      </x:c>
      <x:c r="D17" s="19" t="str">
        <x:v>Reused; existing and spare inventory</x:v>
      </x:c>
      <x:c r="E17" s="19" t="str">
        <x:v>Kit/off-the-shelf</x:v>
      </x:c>
      <x:c r="F17" s="20" t="n">
        <x:v>1</x:v>
      </x:c>
      <x:c r="G17" s="20" t="n">
        <x:v>1</x:v>
      </x:c>
      <x:c r="H17" s="20" t="n">
        <x:v>3</x:v>
      </x:c>
      <x:c r="I17" s="21"/>
      <x:c r="J17" s="21" t="str">
        <x:f>IF(AND(ISNUMBER(F17),ISNUMBER(I17)),F17*I17,"")</x:f>
      </x:c>
      <x:c r="K17" s="19" t="str">
        <x:v>TBD</x:v>
      </x:c>
      <x:c r="L17" s="19" t="str">
        <x:v>Rating/model required</x:v>
      </x:c>
      <x:c r="M17" s="19" t="str"/>
    </x:row>
    <x:row r="18" ht="15" hidden="0" customHeight="1">
      <x:c r="A18" s="19" t="str">
        <x:v>Wiring</x:v>
      </x:c>
      <x:c r="B18" s="19" t="str">
        <x:v>Wire clips (type and quantity TBD)</x:v>
      </x:c>
      <x:c r="C18" s="19" t="str">
        <x:v>Supplier TBD</x:v>
      </x:c>
      <x:c r="D18" s="19" t="str">
        <x:v>Inventory status TBD</x:v>
      </x:c>
      <x:c r="E18" s="19" t="str">
        <x:v>Kit/off-the-shelf</x:v>
      </x:c>
      <x:c r="F18" s="20"/>
      <x:c r="G18" s="20"/>
      <x:c r="H18" s="20"/>
      <x:c r="I18" s="21"/>
      <x:c r="J18" s="21" t="str">
        <x:f>IF(AND(ISNUMBER(F18),ISNUMBER(I18)),F18*I18,"")</x:f>
      </x:c>
      <x:c r="K18" s="19" t="str">
        <x:v>TBD</x:v>
      </x:c>
      <x:c r="L18" s="19" t="str">
        <x:v>Type and quantity required</x:v>
      </x:c>
      <x:c r="M18" s="19" t="str"/>
    </x:row>
    <x:row r="19" ht="26.399999618530273" hidden="0" customHeight="1">
      <x:c r="A19" s="19" t="str">
        <x:v>Wiring</x:v>
      </x:c>
      <x:c r="B19" s="19" t="str">
        <x:v>JST-PH cables; assumed Pololu 6-pin female-female 10 cm, item 5643</x:v>
      </x:c>
      <x:c r="C19" s="19" t="str">
        <x:v>Pololu</x:v>
      </x:c>
      <x:c r="D19" s="19" t="str">
        <x:v>Reused; existing and spare inventory</x:v>
      </x:c>
      <x:c r="E19" s="19" t="str">
        <x:v>Kit/off-the-shelf</x:v>
      </x:c>
      <x:c r="F19" s="20" t="n">
        <x:v>4</x:v>
      </x:c>
      <x:c r="G19" s="20" t="n">
        <x:v>8</x:v>
      </x:c>
      <x:c r="H19" s="20" t="n">
        <x:v>2</x:v>
      </x:c>
      <x:c r="I19" s="21" t="n">
        <x:v>3.23</x:v>
      </x:c>
      <x:c r="J19" s="21" t="n">
        <x:f>IF(AND(ISNUMBER(F19),ISNUMBER(I19)),F19*I19,"")</x:f>
        <x:v>12.92</x:v>
      </x:c>
      <x:c r="K19" s="19" t="str">
        <x:v>Representative</x:v>
      </x:c>
      <x:c r="L19" s="19" t="str">
        <x:v>Confirm pin count and length</x:v>
      </x:c>
      <x:c r="M19" s="19" t="str">
        <x:v>https://www.pololu.com/category/361/6-pin-jst-ph-style-cables</x:v>
      </x:c>
    </x:row>
    <x:row r="20" ht="26.399999618530273" hidden="0" customHeight="1">
      <x:c r="A20" s="19" t="str">
        <x:v>Power</x:v>
      </x:c>
      <x:c r="B20" s="19" t="str">
        <x:v>Pololu D24V50F5 5 V step-down voltage regulator, item 2851</x:v>
      </x:c>
      <x:c r="C20" s="19" t="str">
        <x:v>Pololu</x:v>
      </x:c>
      <x:c r="D20" s="19" t="str">
        <x:v>Reused; existing inventory; verify possible school spares</x:v>
      </x:c>
      <x:c r="E20" s="19" t="str">
        <x:v>Kit/off-the-shelf</x:v>
      </x:c>
      <x:c r="F20" s="20" t="n">
        <x:v>1</x:v>
      </x:c>
      <x:c r="G20" s="20" t="n">
        <x:v>1</x:v>
      </x:c>
      <x:c r="H20" s="20" t="n">
        <x:v>0</x:v>
      </x:c>
      <x:c r="I20" s="21" t="n">
        <x:v>29.95</x:v>
      </x:c>
      <x:c r="J20" s="21" t="n">
        <x:f>IF(AND(ISNUMBER(F20),ISNUMBER(I20)),F20*I20,"")</x:f>
        <x:v>29.95</x:v>
      </x:c>
      <x:c r="K20" s="19" t="str">
        <x:v>Exact</x:v>
      </x:c>
      <x:c r="L20" s="19" t="str">
        <x:v>Item 2851</x:v>
      </x:c>
      <x:c r="M20" s="19" t="str">
        <x:v>https://www.pololu.com/product/2851</x:v>
      </x:c>
    </x:row>
    <x:row r="21" ht="15" hidden="0" customHeight="1">
      <x:c r="A21" s="19" t="str">
        <x:v>Control</x:v>
      </x:c>
      <x:c r="B21" s="19" t="str">
        <x:v>CAROBOT Motor Shield V3, SKU 2337</x:v>
      </x:c>
      <x:c r="C21" s="19" t="str">
        <x:v>Canada Robotix</x:v>
      </x:c>
      <x:c r="D21" s="19" t="str">
        <x:v>Reused; quantity must be verified</x:v>
      </x:c>
      <x:c r="E21" s="19" t="str">
        <x:v>Kit/off-the-shelf</x:v>
      </x:c>
      <x:c r="F21" s="20"/>
      <x:c r="G21" s="20"/>
      <x:c r="H21" s="20"/>
      <x:c r="I21" s="21"/>
      <x:c r="J21" s="21" t="str">
        <x:f>IF(AND(ISNUMBER(F21),ISNUMBER(I21)),F21*I21,"")</x:f>
      </x:c>
      <x:c r="K21" s="19" t="str">
        <x:v>CAD price only</x:v>
      </x:c>
      <x:c r="L21" s="19" t="str">
        <x:v>CAD $19.99; USD price and required quantity TBD</x:v>
      </x:c>
      <x:c r="M21" s="19" t="str">
        <x:v>https://www.canadarobotix.com/products/2337</x:v>
      </x:c>
    </x:row>
    <x:row r="22" ht="26.399999618530273" hidden="0" customHeight="1">
      <x:c r="A22" s="19" t="str">
        <x:v>Control</x:v>
      </x:c>
      <x:c r="B22" s="19" t="str">
        <x:v>SparkFun Qwiic Mux Breakout - 8 Channel (TCA9548A), BOB-16784</x:v>
      </x:c>
      <x:c r="C22" s="19" t="str">
        <x:v>SparkFun</x:v>
      </x:c>
      <x:c r="D22" s="19" t="str">
        <x:v>Reused; quantity must be verified</x:v>
      </x:c>
      <x:c r="E22" s="19" t="str">
        <x:v>Kit/off-the-shelf</x:v>
      </x:c>
      <x:c r="F22" s="20"/>
      <x:c r="G22" s="20"/>
      <x:c r="H22" s="20"/>
      <x:c r="I22" s="21" t="n">
        <x:v>6.95</x:v>
      </x:c>
      <x:c r="J22" s="21" t="str">
        <x:f>IF(AND(ISNUMBER(F22),ISNUMBER(I22)),F22*I22,"")</x:f>
      </x:c>
      <x:c r="K22" s="19" t="str">
        <x:v>Exact</x:v>
      </x:c>
      <x:c r="L22" s="19" t="str">
        <x:v>Required quantity TBD</x:v>
      </x:c>
      <x:c r="M22" s="19" t="str">
        <x:v>https://www.sparkfun.com/sparkfun-qwiic-mux-breakout-8-channel-tca9548a.html</x:v>
      </x:c>
    </x:row>
    <x:row r="23" ht="26.399999618530273" hidden="0" customHeight="1">
      <x:c r="A23" s="19" t="str">
        <x:v>Power</x:v>
      </x:c>
      <x:c r="B23" s="19" t="str">
        <x:v>LiPo battery (voltage, capacity, and model TBD)</x:v>
      </x:c>
      <x:c r="C23" s="19" t="str">
        <x:v>Supplier TBD</x:v>
      </x:c>
      <x:c r="D23" s="19" t="str">
        <x:v>Reused; quantity and condition must be verified</x:v>
      </x:c>
      <x:c r="E23" s="19" t="str">
        <x:v>Kit/off-the-shelf</x:v>
      </x:c>
      <x:c r="F23" s="20"/>
      <x:c r="G23" s="20"/>
      <x:c r="H23" s="20"/>
      <x:c r="I23" s="21"/>
      <x:c r="J23" s="21" t="str">
        <x:f>IF(AND(ISNUMBER(F23),ISNUMBER(I23)),F23*I23,"")</x:f>
      </x:c>
      <x:c r="K23" s="19" t="str">
        <x:v>TBD</x:v>
      </x:c>
      <x:c r="L23" s="19" t="str">
        <x:v>Voltage, capacity, model, and quantity required</x:v>
      </x:c>
      <x:c r="M23" s="19" t="str"/>
    </x:row>
    <x:row r="24" ht="26.399999618530273" hidden="0" customHeight="1">
      <x:c r="A24" s="19" t="str">
        <x:v>Assembly</x:v>
      </x:c>
      <x:c r="B24" s="19" t="str">
        <x:v>Robot mechanical structure and wiring assembly</x:v>
      </x:c>
      <x:c r="C24" s="19" t="str">
        <x:v>Team designed and assembled</x:v>
      </x:c>
      <x:c r="D24" s="19" t="str">
        <x:v>Reused; verify current configuration</x:v>
      </x:c>
      <x:c r="E24" s="19" t="str">
        <x:v>Custom-built</x:v>
      </x:c>
      <x:c r="F24" s="20" t="n">
        <x:v>1</x:v>
      </x:c>
      <x:c r="G24" s="20"/>
      <x:c r="H24" s="20"/>
      <x:c r="I24" s="21"/>
      <x:c r="J24" s="21" t="str">
        <x:f>IF(AND(ISNUMBER(F24),ISNUMBER(I24)),F24*I24,"")</x:f>
      </x:c>
      <x:c r="K24" s="19" t="str">
        <x:v>TBD</x:v>
      </x:c>
      <x:c r="L24" s="19" t="str">
        <x:v>Material costs TBD</x:v>
      </x:c>
      <x:c r="M24" s="19" t="str"/>
    </x:row>
  </x:sheetData>
  <x:conditionalFormatting sqref="K2:K24">
    <x:cfRule type="containsText" dxfId="0" priority="1" operator="containsText" text="TBD"/>
    <x:cfRule type="containsText" dxfId="1" priority="2" operator="containsText" text="Representative"/>
  </x:conditionalFormatting>
  <x:conditionalFormatting sqref="J2:J24">
    <x:cfRule type="dataBar" priority="3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{6562EF74-2126-38B3-9310-8042ED5CBDCB}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a1499d7e1ce4c9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6562EF74-2126-38B3-9310-8042ED5CBDCB}">
            <x14:dataBar gradient="1">
              <x14:cfvo type="min"/>
              <x14:cfvo type="max"/>
              <x14:fillColor rgb="FF4F81BD"/>
            </x14:dataBar>
          </x14:cfRule>
          <xm:sqref>J2:J24</xm:sqref>
        </x14:conditionalFormatting>
      </x14:conditionalFormattings>
    </x:ext>
  </x:extLst>
</x:worksheet>
</file>